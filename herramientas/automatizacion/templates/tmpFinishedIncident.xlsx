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898604\Documents\automatizacion\templates\"/>
    </mc:Choice>
  </mc:AlternateContent>
  <xr:revisionPtr revIDLastSave="0" documentId="13_ncr:1_{F5EABF75-ED2F-4912-9B50-ECB78B7687C3}" xr6:coauthVersionLast="47" xr6:coauthVersionMax="47" xr10:uidLastSave="{00000000-0000-0000-0000-000000000000}"/>
  <bookViews>
    <workbookView xWindow="-110" yWindow="-110" windowWidth="19420" windowHeight="10300" xr2:uid="{7284B478-5FDD-4F94-9829-A08B66CFEDDE}"/>
  </bookViews>
  <sheets>
    <sheet name="Inicio" sheetId="1" r:id="rId1"/>
    <sheet name="Data" sheetId="2" r:id="rId2"/>
    <sheet name="Resultado" sheetId="6" r:id="rId3"/>
    <sheet name="Resultado x Filial" sheetId="7" r:id="rId4"/>
  </sheets>
  <calcPr calcId="191028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7" l="1"/>
  <c r="K4" i="6"/>
  <c r="M4" i="7"/>
  <c r="L5" i="7"/>
  <c r="L4" i="7"/>
  <c r="M5" i="7"/>
  <c r="M3" i="7"/>
  <c r="K4" i="7"/>
  <c r="L3" i="7"/>
  <c r="K5" i="7"/>
  <c r="M10" i="7" l="1"/>
  <c r="L9" i="7"/>
  <c r="L10" i="7"/>
  <c r="M9" i="7"/>
  <c r="K19" i="6"/>
  <c r="K3" i="7"/>
  <c r="K9" i="7" l="1"/>
  <c r="K10" i="7"/>
  <c r="N5" i="6"/>
  <c r="N4" i="6"/>
  <c r="N3" i="6"/>
  <c r="L5" i="6"/>
  <c r="O4" i="6"/>
  <c r="L3" i="6"/>
  <c r="K3" i="6"/>
  <c r="O5" i="6"/>
  <c r="M4" i="6"/>
  <c r="K5" i="6"/>
  <c r="M3" i="6"/>
  <c r="M5" i="6"/>
  <c r="O3" i="6"/>
  <c r="L4" i="6"/>
  <c r="K10" i="6" l="1"/>
  <c r="K9" i="6"/>
  <c r="L9" i="6"/>
  <c r="L10" i="6"/>
  <c r="M9" i="6"/>
  <c r="M10" i="6"/>
  <c r="N9" i="6"/>
  <c r="N10" i="6"/>
  <c r="O9" i="6"/>
  <c r="O10" i="6"/>
</calcChain>
</file>

<file path=xl/sharedStrings.xml><?xml version="1.0" encoding="utf-8"?>
<sst xmlns="http://schemas.openxmlformats.org/spreadsheetml/2006/main" count="74" uniqueCount="37">
  <si>
    <t xml:space="preserve"> </t>
  </si>
  <si>
    <t>Ticket</t>
  </si>
  <si>
    <t>Prioridad</t>
  </si>
  <si>
    <t>Estado</t>
  </si>
  <si>
    <t>SLA</t>
  </si>
  <si>
    <t>Fecha Apertura</t>
  </si>
  <si>
    <t>Fecha Resuelto</t>
  </si>
  <si>
    <t>Resumen</t>
  </si>
  <si>
    <t>Grupo Asignado</t>
  </si>
  <si>
    <t>Semana</t>
  </si>
  <si>
    <t>Wintel</t>
  </si>
  <si>
    <t>ITO</t>
  </si>
  <si>
    <t>BD</t>
  </si>
  <si>
    <t>Monitoreo</t>
  </si>
  <si>
    <t>Count of Ticket</t>
  </si>
  <si>
    <t>SLA OK</t>
  </si>
  <si>
    <t>Bancolombia</t>
  </si>
  <si>
    <t>Banistmo</t>
  </si>
  <si>
    <t>Row Labels</t>
  </si>
  <si>
    <t>(blank)</t>
  </si>
  <si>
    <t>Grand Total</t>
  </si>
  <si>
    <t>Incidente Padre</t>
  </si>
  <si>
    <t>Tipo de Caso</t>
  </si>
  <si>
    <t>Cumple SLA</t>
  </si>
  <si>
    <t>Usuario Final Afectado</t>
  </si>
  <si>
    <t>Instancia CI</t>
  </si>
  <si>
    <t>Subdominio</t>
  </si>
  <si>
    <t>Usuario Asignado</t>
  </si>
  <si>
    <t>Column Labels</t>
  </si>
  <si>
    <t>Filial</t>
  </si>
  <si>
    <t>Torre</t>
  </si>
  <si>
    <t>(All)</t>
  </si>
  <si>
    <t>Transformacion</t>
  </si>
  <si>
    <t>SLA FAIL</t>
  </si>
  <si>
    <t>% SLA OK</t>
  </si>
  <si>
    <t>% SLA FAIL</t>
  </si>
  <si>
    <t>Cantidad 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</si>
</sst>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color theme="0"/>
      <name val="Calibri"/>
      <family val="2"/>
      <scheme val="minor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4" formatCode="m/d/yyyy\ 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7" formatCode="d/mm/yyyy\ 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27" formatCode="d/mm/yyyy\ 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Resultado!$K$19</c:f>
          <c:strCache>
            <c:ptCount val="1"/>
            <c:pt idx="0">
              <c:v>Gestión de incidentes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Resultado!$J$3</c:f>
              <c:strCache>
                <c:ptCount val="1"/>
                <c:pt idx="0">
                  <c:v>Cantidad Ticket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Resultado!$L$2:$O$2</c:f>
              <c:strCache>
                <c:ptCount val="4"/>
                <c:pt idx="0">
                  <c:v>Wintel</c:v>
                </c:pt>
                <c:pt idx="1">
                  <c:v>BD</c:v>
                </c:pt>
                <c:pt idx="2">
                  <c:v>Monitoreo</c:v>
                </c:pt>
                <c:pt idx="3">
                  <c:v>Transformacion</c:v>
                </c:pt>
              </c:strCache>
            </c:strRef>
          </c:cat>
          <c:val>
            <c:numRef>
              <c:f>Resultado!$L$3:$O$3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529-4019-A64B-391034C3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9926224"/>
        <c:axId val="619926704"/>
      </c:barChart>
      <c:lineChart>
        <c:grouping val="standard"/>
        <c:varyColors val="0"/>
        <c:ser>
          <c:idx val="6"/>
          <c:order val="1"/>
          <c:tx>
            <c:strRef>
              <c:f>Resultado!$J$9</c:f>
              <c:strCache>
                <c:ptCount val="1"/>
                <c:pt idx="0">
                  <c:v>% SLA OK</c:v>
                </c:pt>
              </c:strCache>
            </c:strRef>
          </c:tx>
          <c:spPr>
            <a:ln w="158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Resultado!$L$2:$O$2</c:f>
              <c:strCache>
                <c:ptCount val="4"/>
                <c:pt idx="0">
                  <c:v>Wintel</c:v>
                </c:pt>
                <c:pt idx="1">
                  <c:v>BD</c:v>
                </c:pt>
                <c:pt idx="2">
                  <c:v>Monitoreo</c:v>
                </c:pt>
                <c:pt idx="3">
                  <c:v>Transformacion</c:v>
                </c:pt>
              </c:strCache>
            </c:strRef>
          </c:cat>
          <c:val>
            <c:numRef>
              <c:f>Resultado!$L$9:$O$9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529-4019-A64B-391034C36850}"/>
            </c:ext>
          </c:extLst>
        </c:ser>
        <c:ser>
          <c:idx val="7"/>
          <c:order val="2"/>
          <c:tx>
            <c:strRef>
              <c:f>Resultado!$J$10</c:f>
              <c:strCache>
                <c:ptCount val="1"/>
                <c:pt idx="0">
                  <c:v>% SLA FAIL</c:v>
                </c:pt>
              </c:strCache>
            </c:strRef>
          </c:tx>
          <c:spPr>
            <a:ln w="158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Resultado!$L$2:$O$2</c:f>
              <c:strCache>
                <c:ptCount val="4"/>
                <c:pt idx="0">
                  <c:v>Wintel</c:v>
                </c:pt>
                <c:pt idx="1">
                  <c:v>BD</c:v>
                </c:pt>
                <c:pt idx="2">
                  <c:v>Monitoreo</c:v>
                </c:pt>
                <c:pt idx="3">
                  <c:v>Transformacion</c:v>
                </c:pt>
              </c:strCache>
            </c:strRef>
          </c:cat>
          <c:val>
            <c:numRef>
              <c:f>Resultado!$L$10:$O$10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529-4019-A64B-391034C36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089824"/>
        <c:axId val="630089344"/>
      </c:lineChart>
      <c:catAx>
        <c:axId val="619926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26704"/>
        <c:crosses val="autoZero"/>
        <c:auto val="1"/>
        <c:lblAlgn val="ctr"/>
        <c:lblOffset val="100"/>
        <c:noMultiLvlLbl val="0"/>
      </c:catAx>
      <c:valAx>
        <c:axId val="6199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926224"/>
        <c:crosses val="autoZero"/>
        <c:crossBetween val="between"/>
      </c:valAx>
      <c:valAx>
        <c:axId val="63008934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089824"/>
        <c:crosses val="max"/>
        <c:crossBetween val="between"/>
      </c:valAx>
      <c:catAx>
        <c:axId val="6300898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30089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'Resultado x Filial'!$L$17</c:f>
          <c:strCache>
            <c:ptCount val="1"/>
            <c:pt idx="0">
              <c:v>Gestión de incidentes por filial 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'Resultado x Filial'!$J$3</c:f>
              <c:strCache>
                <c:ptCount val="1"/>
                <c:pt idx="0">
                  <c:v>Cantidad Ticket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'Resultado x Filial'!$L$2:$M$2</c:f>
              <c:strCache>
                <c:ptCount val="2"/>
                <c:pt idx="0">
                  <c:v>Bancolombia</c:v>
                </c:pt>
                <c:pt idx="1">
                  <c:v>Banistmo</c:v>
                </c:pt>
              </c:strCache>
            </c:strRef>
          </c:cat>
          <c:val>
            <c:numRef>
              <c:f>'Resultado x Filial'!$L$3:$M$3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D-4FE6-A637-88460A85F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585888"/>
        <c:axId val="63583968"/>
      </c:barChart>
      <c:lineChart>
        <c:grouping val="standard"/>
        <c:varyColors val="0"/>
        <c:ser>
          <c:idx val="6"/>
          <c:order val="1"/>
          <c:tx>
            <c:strRef>
              <c:f>'Resultado x Filial'!$J$9</c:f>
              <c:strCache>
                <c:ptCount val="1"/>
                <c:pt idx="0">
                  <c:v>% SLA OK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'Resultado x Filial'!$L$2:$M$2</c:f>
              <c:strCache>
                <c:ptCount val="2"/>
                <c:pt idx="0">
                  <c:v>Bancolombia</c:v>
                </c:pt>
                <c:pt idx="1">
                  <c:v>Banistmo</c:v>
                </c:pt>
              </c:strCache>
            </c:strRef>
          </c:cat>
          <c:val>
            <c:numRef>
              <c:f>'Resultado x Filial'!$L$9:$M$9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FCD-4FE6-A637-88460A85F8D6}"/>
            </c:ext>
          </c:extLst>
        </c:ser>
        <c:ser>
          <c:idx val="7"/>
          <c:order val="2"/>
          <c:tx>
            <c:strRef>
              <c:f>'Resultado x Filial'!$J$10</c:f>
              <c:strCache>
                <c:ptCount val="1"/>
                <c:pt idx="0">
                  <c:v>% SLA FAIL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f>'Resultado x Filial'!$L$2:$M$2</c:f>
              <c:strCache>
                <c:ptCount val="2"/>
                <c:pt idx="0">
                  <c:v>Bancolombia</c:v>
                </c:pt>
                <c:pt idx="1">
                  <c:v>Banistmo</c:v>
                </c:pt>
              </c:strCache>
            </c:strRef>
          </c:cat>
          <c:val>
            <c:numRef>
              <c:f>'Resultado x Filial'!$L$10:$M$10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FCD-4FE6-A637-88460A85F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583984"/>
        <c:axId val="66586864"/>
      </c:lineChart>
      <c:catAx>
        <c:axId val="6358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3968"/>
        <c:crosses val="autoZero"/>
        <c:auto val="1"/>
        <c:lblAlgn val="ctr"/>
        <c:lblOffset val="100"/>
        <c:noMultiLvlLbl val="0"/>
      </c:catAx>
      <c:valAx>
        <c:axId val="6358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85888"/>
        <c:crosses val="autoZero"/>
        <c:crossBetween val="between"/>
      </c:valAx>
      <c:valAx>
        <c:axId val="66586864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83984"/>
        <c:crosses val="max"/>
        <c:crossBetween val="between"/>
      </c:valAx>
      <c:catAx>
        <c:axId val="66583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5868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Resultado x Filial'!A1"/><Relationship Id="rId2" Type="http://schemas.openxmlformats.org/officeDocument/2006/relationships/hyperlink" Target="#Resultado!A1"/><Relationship Id="rId1" Type="http://schemas.openxmlformats.org/officeDocument/2006/relationships/hyperlink" Target="#Data!A1"/><Relationship Id="rId6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hyperlink" Target="#Inicio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</xdr:colOff>
      <xdr:row>0</xdr:row>
      <xdr:rowOff>0</xdr:rowOff>
    </xdr:from>
    <xdr:to>
      <xdr:col>10</xdr:col>
      <xdr:colOff>457200</xdr:colOff>
      <xdr:row>16</xdr:row>
      <xdr:rowOff>69850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1DD0486-5B3B-4E6A-8EAE-F895FFC721FC}"/>
            </a:ext>
          </a:extLst>
        </xdr:cNvPr>
        <xdr:cNvSpPr/>
      </xdr:nvSpPr>
      <xdr:spPr>
        <a:xfrm>
          <a:off x="6350" y="0"/>
          <a:ext cx="6546850" cy="301625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57150</xdr:colOff>
      <xdr:row>0</xdr:row>
      <xdr:rowOff>165100</xdr:rowOff>
    </xdr:from>
    <xdr:to>
      <xdr:col>8</xdr:col>
      <xdr:colOff>476250</xdr:colOff>
      <xdr:row>4</xdr:row>
      <xdr:rowOff>146050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06532BC-35AC-4AAF-94ED-168AAAF71502}"/>
            </a:ext>
          </a:extLst>
        </xdr:cNvPr>
        <xdr:cNvSpPr/>
      </xdr:nvSpPr>
      <xdr:spPr>
        <a:xfrm>
          <a:off x="666750" y="165100"/>
          <a:ext cx="4686300" cy="7175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US" sz="1600" b="1">
              <a:solidFill>
                <a:schemeClr val="tx1"/>
              </a:solidFill>
            </a:rPr>
            <a:t>REPORTE</a:t>
          </a:r>
          <a:r>
            <a:rPr lang="en-US" sz="1600" b="1" baseline="0">
              <a:solidFill>
                <a:schemeClr val="tx1"/>
              </a:solidFill>
            </a:rPr>
            <a:t> SEMANAL INCIDENTES</a:t>
          </a:r>
        </a:p>
        <a:p>
          <a:pPr algn="r"/>
          <a:endParaRPr lang="en-US" sz="1600" b="1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279400</xdr:colOff>
      <xdr:row>5</xdr:row>
      <xdr:rowOff>69850</xdr:rowOff>
    </xdr:from>
    <xdr:to>
      <xdr:col>2</xdr:col>
      <xdr:colOff>349250</xdr:colOff>
      <xdr:row>7</xdr:row>
      <xdr:rowOff>19050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967367-188F-4E6B-A8E2-596ECDFA4082}"/>
            </a:ext>
          </a:extLst>
        </xdr:cNvPr>
        <xdr:cNvSpPr/>
      </xdr:nvSpPr>
      <xdr:spPr>
        <a:xfrm>
          <a:off x="279400" y="990600"/>
          <a:ext cx="1289050" cy="31750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Data</a:t>
          </a:r>
        </a:p>
      </xdr:txBody>
    </xdr:sp>
    <xdr:clientData/>
  </xdr:twoCellAnchor>
  <xdr:twoCellAnchor>
    <xdr:from>
      <xdr:col>0</xdr:col>
      <xdr:colOff>260350</xdr:colOff>
      <xdr:row>7</xdr:row>
      <xdr:rowOff>127000</xdr:rowOff>
    </xdr:from>
    <xdr:to>
      <xdr:col>2</xdr:col>
      <xdr:colOff>355600</xdr:colOff>
      <xdr:row>9</xdr:row>
      <xdr:rowOff>76200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26D757E-2D09-4C53-9836-EC1B1F070A2E}"/>
            </a:ext>
          </a:extLst>
        </xdr:cNvPr>
        <xdr:cNvSpPr/>
      </xdr:nvSpPr>
      <xdr:spPr>
        <a:xfrm>
          <a:off x="260350" y="1416050"/>
          <a:ext cx="1314450" cy="31750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Resultado</a:t>
          </a:r>
        </a:p>
      </xdr:txBody>
    </xdr:sp>
    <xdr:clientData/>
  </xdr:twoCellAnchor>
  <xdr:twoCellAnchor>
    <xdr:from>
      <xdr:col>0</xdr:col>
      <xdr:colOff>273050</xdr:colOff>
      <xdr:row>10</xdr:row>
      <xdr:rowOff>0</xdr:rowOff>
    </xdr:from>
    <xdr:to>
      <xdr:col>2</xdr:col>
      <xdr:colOff>374650</xdr:colOff>
      <xdr:row>11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1779AC4-3BF8-4A39-A47E-26F110827749}"/>
            </a:ext>
          </a:extLst>
        </xdr:cNvPr>
        <xdr:cNvSpPr/>
      </xdr:nvSpPr>
      <xdr:spPr>
        <a:xfrm>
          <a:off x="273050" y="1841500"/>
          <a:ext cx="1320800" cy="317500"/>
        </a:xfrm>
        <a:prstGeom prst="round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Resultado por</a:t>
          </a:r>
          <a:r>
            <a:rPr lang="en-US" sz="1100" baseline="0"/>
            <a:t> Filial</a:t>
          </a:r>
        </a:p>
      </xdr:txBody>
    </xdr:sp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120650</xdr:rowOff>
    </xdr:to>
    <xdr:sp macro="" textlink="">
      <xdr:nvSpPr>
        <xdr:cNvPr id="1027" name="AutoShape 3" descr="Logo Bancolombia PNG transparente - StickPNG">
          <a:extLst>
            <a:ext uri="{FF2B5EF4-FFF2-40B4-BE49-F238E27FC236}">
              <a16:creationId xmlns:a16="http://schemas.microsoft.com/office/drawing/2014/main" id="{F7384D6E-5E03-4528-BBEE-09248F8A20A1}"/>
            </a:ext>
          </a:extLst>
        </xdr:cNvPr>
        <xdr:cNvSpPr>
          <a:spLocks noChangeAspect="1" noChangeArrowheads="1"/>
        </xdr:cNvSpPr>
      </xdr:nvSpPr>
      <xdr:spPr bwMode="auto">
        <a:xfrm>
          <a:off x="7315200" y="18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590550</xdr:colOff>
      <xdr:row>8</xdr:row>
      <xdr:rowOff>177798</xdr:rowOff>
    </xdr:from>
    <xdr:to>
      <xdr:col>5</xdr:col>
      <xdr:colOff>203200</xdr:colOff>
      <xdr:row>10</xdr:row>
      <xdr:rowOff>1795</xdr:rowOff>
    </xdr:to>
    <xdr:pic>
      <xdr:nvPicPr>
        <xdr:cNvPr id="15" name="Imagen 11" descr="Un dibujo de un perro&#10;&#10;Descripción generada automáticamente con confianza media">
          <a:extLst>
            <a:ext uri="{FF2B5EF4-FFF2-40B4-BE49-F238E27FC236}">
              <a16:creationId xmlns:a16="http://schemas.microsoft.com/office/drawing/2014/main" id="{3C4F6FB9-1DC7-4514-9DE1-33BF9D4B0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09750" y="1650998"/>
          <a:ext cx="1441450" cy="192297"/>
        </a:xfrm>
        <a:prstGeom prst="rect">
          <a:avLst/>
        </a:prstGeom>
      </xdr:spPr>
    </xdr:pic>
    <xdr:clientData/>
  </xdr:twoCellAnchor>
  <xdr:twoCellAnchor editAs="oneCell">
    <xdr:from>
      <xdr:col>5</xdr:col>
      <xdr:colOff>438150</xdr:colOff>
      <xdr:row>8</xdr:row>
      <xdr:rowOff>165100</xdr:rowOff>
    </xdr:from>
    <xdr:to>
      <xdr:col>7</xdr:col>
      <xdr:colOff>374650</xdr:colOff>
      <xdr:row>9</xdr:row>
      <xdr:rowOff>180234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B21C4E9-6CAC-4D8E-A6DE-8EF024AE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86150" y="1638300"/>
          <a:ext cx="1155700" cy="199284"/>
        </a:xfrm>
        <a:prstGeom prst="rect">
          <a:avLst/>
        </a:prstGeom>
      </xdr:spPr>
    </xdr:pic>
    <xdr:clientData/>
  </xdr:twoCellAnchor>
  <xdr:twoCellAnchor>
    <xdr:from>
      <xdr:col>1</xdr:col>
      <xdr:colOff>279400</xdr:colOff>
      <xdr:row>1</xdr:row>
      <xdr:rowOff>25400</xdr:rowOff>
    </xdr:from>
    <xdr:to>
      <xdr:col>3</xdr:col>
      <xdr:colOff>469900</xdr:colOff>
      <xdr:row>4</xdr:row>
      <xdr:rowOff>32442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6882FD2C-66DA-6AAF-D526-2D23498D4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209550"/>
          <a:ext cx="1409700" cy="5594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19050</xdr:colOff>
      <xdr:row>7</xdr:row>
      <xdr:rowOff>0</xdr:rowOff>
    </xdr:from>
    <xdr:to>
      <xdr:col>5</xdr:col>
      <xdr:colOff>88900</xdr:colOff>
      <xdr:row>8</xdr:row>
      <xdr:rowOff>63500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92B9FEA-6FAB-FAB0-E196-73198BACB757}"/>
            </a:ext>
          </a:extLst>
        </xdr:cNvPr>
        <xdr:cNvSpPr txBox="1"/>
      </xdr:nvSpPr>
      <xdr:spPr>
        <a:xfrm>
          <a:off x="1847850" y="1289050"/>
          <a:ext cx="1289050" cy="247650"/>
        </a:xfrm>
        <a:prstGeom prst="rect">
          <a:avLst/>
        </a:prstGeom>
        <a:solidFill>
          <a:schemeClr val="tx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200" b="1">
              <a:solidFill>
                <a:schemeClr val="bg1"/>
              </a:solidFill>
            </a:rPr>
            <a:t>Un aliado:</a:t>
          </a:r>
        </a:p>
      </xdr:txBody>
    </xdr:sp>
    <xdr:clientData/>
  </xdr:twoCellAnchor>
  <xdr:oneCellAnchor>
    <xdr:from>
      <xdr:col>4</xdr:col>
      <xdr:colOff>387350</xdr:colOff>
      <xdr:row>2</xdr:row>
      <xdr:rowOff>57150</xdr:rowOff>
    </xdr:from>
    <xdr:ext cx="2425700" cy="280205"/>
    <xdr:sp macro="" textlink="B2">
      <xdr:nvSpPr>
        <xdr:cNvPr id="10" name="TextBox 9">
          <a:extLst>
            <a:ext uri="{FF2B5EF4-FFF2-40B4-BE49-F238E27FC236}">
              <a16:creationId xmlns:a16="http://schemas.microsoft.com/office/drawing/2014/main" id="{387EBEEF-3F10-74A5-CB75-6A5D25A9EC4B}"/>
            </a:ext>
          </a:extLst>
        </xdr:cNvPr>
        <xdr:cNvSpPr txBox="1"/>
      </xdr:nvSpPr>
      <xdr:spPr>
        <a:xfrm>
          <a:off x="2825750" y="425450"/>
          <a:ext cx="2425700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fld id="{F931A292-CFE4-4C9E-B76B-0035C9AB3FD1}" type="TxLink"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r"/>
            <a:t> </a:t>
          </a:fld>
          <a:endParaRPr lang="en-US" sz="1200" b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522111</xdr:colOff>
      <xdr:row>1</xdr:row>
      <xdr:rowOff>177447</xdr:rowOff>
    </xdr:to>
    <xdr:sp macro="" textlink="">
      <xdr:nvSpPr>
        <xdr:cNvPr id="4" name="Arrow: Left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FBA139-B318-4D86-A659-D11C1EBF752D}"/>
            </a:ext>
          </a:extLst>
        </xdr:cNvPr>
        <xdr:cNvSpPr/>
      </xdr:nvSpPr>
      <xdr:spPr>
        <a:xfrm>
          <a:off x="0" y="0"/>
          <a:ext cx="522111" cy="361597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390525</xdr:colOff>
      <xdr:row>11</xdr:row>
      <xdr:rowOff>63500</xdr:rowOff>
    </xdr:from>
    <xdr:to>
      <xdr:col>15</xdr:col>
      <xdr:colOff>384175</xdr:colOff>
      <xdr:row>27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CCE4E87-1500-366C-49E4-B60D6D05B0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522111</xdr:colOff>
      <xdr:row>1</xdr:row>
      <xdr:rowOff>177447</xdr:rowOff>
    </xdr:to>
    <xdr:sp macro="" textlink="">
      <xdr:nvSpPr>
        <xdr:cNvPr id="3" name="Arrow: Left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A58A7F-5218-4C74-9E1B-B66199DD1AC3}"/>
            </a:ext>
          </a:extLst>
        </xdr:cNvPr>
        <xdr:cNvSpPr/>
      </xdr:nvSpPr>
      <xdr:spPr>
        <a:xfrm>
          <a:off x="0" y="0"/>
          <a:ext cx="522111" cy="361597"/>
        </a:xfrm>
        <a:prstGeom prst="leftArrow">
          <a:avLst/>
        </a:prstGeom>
        <a:solidFill>
          <a:schemeClr val="tx1">
            <a:lumMod val="65000"/>
            <a:lumOff val="35000"/>
          </a:schemeClr>
        </a:solidFill>
        <a:ln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22224</xdr:colOff>
      <xdr:row>10</xdr:row>
      <xdr:rowOff>139700</xdr:rowOff>
    </xdr:from>
    <xdr:to>
      <xdr:col>14</xdr:col>
      <xdr:colOff>342899</xdr:colOff>
      <xdr:row>27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BFE554-C958-E771-3DC4-FFE525FDEB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athan Guerrero Montoya" refreshedDate="45807.529645717594" createdVersion="8" refreshedVersion="8" minRefreshableVersion="3" recordCount="25" xr:uid="{74FFAACA-D2A3-4329-9213-059585E30102}">
  <cacheSource type="worksheet">
    <worksheetSource name="dataTable"/>
  </cacheSource>
  <cacheFields count="18">
    <cacheField name="Ticket" numFmtId="0">
      <sharedItems containsNonDate="0" containsString="0" containsBlank="1"/>
    </cacheField>
    <cacheField name="Tipo de Caso" numFmtId="0">
      <sharedItems containsNonDate="0" containsString="0" containsBlank="1"/>
    </cacheField>
    <cacheField name="Prioridad" numFmtId="0">
      <sharedItems containsNonDate="0" containsString="0" containsBlank="1" count="1">
        <m/>
      </sharedItems>
    </cacheField>
    <cacheField name="Incidente Padre" numFmtId="0">
      <sharedItems containsNonDate="0" containsString="0" containsBlank="1"/>
    </cacheField>
    <cacheField name="Estado" numFmtId="0">
      <sharedItems containsNonDate="0" containsString="0" containsBlank="1"/>
    </cacheField>
    <cacheField name="SLA" numFmtId="0">
      <sharedItems containsNonDate="0" containsString="0" containsBlank="1"/>
    </cacheField>
    <cacheField name="Fecha Apertura" numFmtId="22">
      <sharedItems containsNonDate="0" containsString="0" containsBlank="1"/>
    </cacheField>
    <cacheField name="Fecha Resuelto" numFmtId="22">
      <sharedItems containsNonDate="0" containsString="0" containsBlank="1"/>
    </cacheField>
    <cacheField name="Cumple SLA" numFmtId="0">
      <sharedItems containsNonDate="0" containsString="0" containsBlank="1" count="1">
        <m/>
      </sharedItems>
    </cacheField>
    <cacheField name="Usuario Asignado" numFmtId="0">
      <sharedItems containsNonDate="0" containsString="0" containsBlank="1"/>
    </cacheField>
    <cacheField name="Usuario Final Afectado" numFmtId="0">
      <sharedItems containsNonDate="0" containsString="0" containsBlank="1"/>
    </cacheField>
    <cacheField name="Instancia CI" numFmtId="0">
      <sharedItems containsNonDate="0" containsString="0" containsBlank="1"/>
    </cacheField>
    <cacheField name="Resumen" numFmtId="0">
      <sharedItems containsNonDate="0" containsString="0" containsBlank="1"/>
    </cacheField>
    <cacheField name="Grupo Asignado" numFmtId="0">
      <sharedItems containsNonDate="0" containsString="0" containsBlank="1" count="1">
        <m/>
      </sharedItems>
    </cacheField>
    <cacheField name="Filial" numFmtId="0">
      <sharedItems containsNonDate="0" containsString="0" containsBlank="1" count="1">
        <m/>
      </sharedItems>
    </cacheField>
    <cacheField name="Subdominio" numFmtId="0">
      <sharedItems containsNonDate="0" containsString="0" containsBlank="1"/>
    </cacheField>
    <cacheField name="Torre" numFmtId="0">
      <sharedItems containsNonDate="0" containsString="0" containsBlank="1" count="1">
        <m/>
      </sharedItems>
    </cacheField>
    <cacheField name="Seman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  <r>
    <m/>
    <m/>
    <x v="0"/>
    <m/>
    <m/>
    <m/>
    <m/>
    <m/>
    <x v="0"/>
    <m/>
    <m/>
    <m/>
    <m/>
    <x v="0"/>
    <x v="0"/>
    <m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A5809E-E577-4B57-9FC1-FBC220D048BE}" name="TicketSLA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6" firstHeaderRow="1" firstDataRow="2" firstDataCol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</pivotFields>
  <rowFields count="1">
    <field x="8"/>
  </rowFields>
  <rowItems count="2">
    <i>
      <x/>
    </i>
    <i t="grand">
      <x/>
    </i>
  </rowItems>
  <colFields count="1">
    <field x="16"/>
  </colFields>
  <colItems count="2">
    <i>
      <x/>
    </i>
    <i t="grand">
      <x/>
    </i>
  </colItems>
  <dataFields count="1">
    <dataField name="Count of Ticke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56EFFF-08F6-4E4B-9176-F2A2B254FF0B}" name="GrupoTicke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8:C21" firstHeaderRow="1" firstDataRow="1" firstDataCol="1" rowPageCount="1" colPageCount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</pivotFields>
  <rowFields count="2">
    <field x="16"/>
    <field x="13"/>
  </rowFields>
  <rowItems count="3">
    <i>
      <x/>
    </i>
    <i r="1">
      <x/>
    </i>
    <i t="grand">
      <x/>
    </i>
  </rowItems>
  <colItems count="1">
    <i/>
  </colItems>
  <pageFields count="1">
    <pageField fld="8" hier="-1"/>
  </pageFields>
  <dataFields count="1">
    <dataField name="Count of Ticke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577760-0C19-4EB8-BDE0-85C9C231FF15}" name="TorreTicke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1:C13" firstHeaderRow="1" firstDataRow="1" firstDataCol="1" rowPageCount="1" colPageCount="1"/>
  <pivotFields count="18">
    <pivotField dataField="1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</pivotFields>
  <rowFields count="1">
    <field x="2"/>
  </rowFields>
  <rowItems count="2">
    <i>
      <x/>
    </i>
    <i t="grand">
      <x/>
    </i>
  </rowItems>
  <colItems count="1">
    <i/>
  </colItems>
  <pageFields count="1">
    <pageField fld="16" hier="-1"/>
  </pageFields>
  <dataFields count="1">
    <dataField name="Count of Ticke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D9C745-1E68-411B-A926-4970207F593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D7" firstHeaderRow="1" firstDataRow="2" firstDataCol="1" rowPageCount="1" colPageCount="1"/>
  <pivotFields count="18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2">
        <item x="0"/>
        <item t="default"/>
      </items>
    </pivotField>
    <pivotField showAll="0"/>
    <pivotField axis="axisPage" showAll="0">
      <items count="2">
        <item x="0"/>
        <item t="default"/>
      </items>
    </pivotField>
    <pivotField showAll="0"/>
  </pivotFields>
  <rowFields count="1">
    <field x="8"/>
  </rowFields>
  <rowItems count="2">
    <i>
      <x/>
    </i>
    <i t="grand">
      <x/>
    </i>
  </rowItems>
  <colFields count="1">
    <field x="14"/>
  </colFields>
  <colItems count="2">
    <i>
      <x/>
    </i>
    <i t="grand">
      <x/>
    </i>
  </colItems>
  <pageFields count="1">
    <pageField fld="16" hier="-1"/>
  </pageFields>
  <dataFields count="1">
    <dataField name="Count of Ticke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77E234-66BF-4523-9CC6-7D2195BD591D}" name="dataTable" displayName="dataTable" ref="A1:R26" headerRowDxfId="20" dataDxfId="19" totalsRowDxfId="18">
  <autoFilter ref="A1:R26" xr:uid="{EB77E234-66BF-4523-9CC6-7D2195BD591D}"/>
  <tableColumns count="18">
    <tableColumn id="1" xr3:uid="{4CC804A5-CCC9-46C9-B6D2-1F2616C16371}" name="Ticket" dataDxfId="17"/>
    <tableColumn id="2" xr3:uid="{8DA76267-933A-4E33-8714-042328F7530E}" name="Tipo de Caso" dataDxfId="16"/>
    <tableColumn id="3" xr3:uid="{5DFCDD68-B1A5-414D-8D7E-B875655BCD9B}" name="Prioridad" dataDxfId="15"/>
    <tableColumn id="9" xr3:uid="{273D9500-1CCF-4B7A-8C02-D5252863EF8C}" name="Incidente Padre" dataDxfId="14"/>
    <tableColumn id="4" xr3:uid="{65BECA38-7963-4D2B-8D62-AE5AE860AE1F}" name="Estado" dataDxfId="13"/>
    <tableColumn id="5" xr3:uid="{31BC44DA-7B29-427E-A0D9-4D09133BE524}" name="SLA" dataDxfId="12"/>
    <tableColumn id="6" xr3:uid="{F5EDC8C3-8F04-42F7-8A1F-924FE50C2964}" name="Fecha Apertura" dataDxfId="11"/>
    <tableColumn id="7" xr3:uid="{CAA4F6B1-9E10-4D88-8D43-576622AE9C7E}" name="Fecha Resuelto" dataDxfId="10"/>
    <tableColumn id="24" xr3:uid="{F1E809C5-0EF8-47C1-8115-1CC4918C6655}" name="Cumple SLA" dataDxfId="9"/>
    <tableColumn id="8" xr3:uid="{9BB47577-30B1-465B-A616-81A4E9E1FA5A}" name="Usuario Asignado" dataDxfId="8"/>
    <tableColumn id="10" xr3:uid="{4D0910AA-499D-4EDF-A887-04B96B2AAF16}" name="Usuario Final Afectado" dataDxfId="7"/>
    <tableColumn id="15" xr3:uid="{DDA22EF8-9E42-44BB-9757-886A5BC2DE86}" name="Instancia CI" dataDxfId="6"/>
    <tableColumn id="11" xr3:uid="{940899B5-B1C9-4039-9DA1-7344FF72EFC0}" name="Resumen" dataDxfId="5"/>
    <tableColumn id="13" xr3:uid="{F4C6B5F7-5522-4170-B1BF-FA22FF81CCEC}" name="Grupo Asignado" dataDxfId="4"/>
    <tableColumn id="19" xr3:uid="{E544A16F-3149-4E25-9EFF-ED5A9D26AAFF}" name="Filial" dataDxfId="3"/>
    <tableColumn id="12" xr3:uid="{01ED781D-BFF0-4920-9152-9058490D9D77}" name="Subdominio" dataDxfId="2"/>
    <tableColumn id="18" xr3:uid="{1F9D88BB-2EFD-443A-9922-A72EBC61A52B}" name="Torre" dataDxfId="1"/>
    <tableColumn id="20" xr3:uid="{F298C19A-1C30-456F-B107-7F62B6F765C1}" name="Seman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473BB-806E-432C-B306-EECDF7EDBB82}">
  <sheetPr codeName="Sheet1"/>
  <dimension ref="A14"/>
  <sheetViews>
    <sheetView showGridLines="0" tabSelected="1" workbookViewId="0"/>
  </sheetViews>
  <sheetFormatPr defaultColWidth="8.7265625" defaultRowHeight="14.5" x14ac:dyDescent="0.35"/>
  <sheetData>
    <row r="14" spans="1:1" x14ac:dyDescent="0.35">
      <c r="A14" t="s">
        <v>0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EA83-9665-4B11-A246-5E7CA0CAD9A8}">
  <sheetPr codeName="Sheet2"/>
  <dimension ref="A1:R26"/>
  <sheetViews>
    <sheetView topLeftCell="A2" zoomScale="80" zoomScaleNormal="80" workbookViewId="0">
      <selection activeCell="F9" sqref="F9"/>
    </sheetView>
  </sheetViews>
  <sheetFormatPr defaultColWidth="8.7265625" defaultRowHeight="14.5" x14ac:dyDescent="0.35"/>
  <cols>
    <col min="1" max="1" width="30.6328125" customWidth="1"/>
    <col min="2" max="3" width="15.6328125" customWidth="1"/>
    <col min="4" max="4" width="30.6328125" customWidth="1"/>
    <col min="5" max="6" width="15.6328125" customWidth="1"/>
    <col min="7" max="8" width="30.6328125" customWidth="1"/>
    <col min="9" max="9" width="15.6328125" customWidth="1"/>
    <col min="10" max="14" width="30.6328125" customWidth="1"/>
    <col min="15" max="15" width="20.6328125" customWidth="1"/>
    <col min="16" max="16" width="30.6328125" customWidth="1"/>
    <col min="17" max="17" width="20.6328125" customWidth="1"/>
    <col min="18" max="18" width="15.6328125" customWidth="1"/>
    <col min="19" max="19" width="24.36328125" customWidth="1"/>
    <col min="20" max="20" width="12.54296875" customWidth="1"/>
  </cols>
  <sheetData>
    <row r="1" spans="1:18" ht="15.5" x14ac:dyDescent="0.35">
      <c r="A1" s="10" t="s">
        <v>1</v>
      </c>
      <c r="B1" s="10" t="s">
        <v>22</v>
      </c>
      <c r="C1" s="10" t="s">
        <v>2</v>
      </c>
      <c r="D1" s="10" t="s">
        <v>21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23</v>
      </c>
      <c r="J1" s="10" t="s">
        <v>27</v>
      </c>
      <c r="K1" s="10" t="s">
        <v>24</v>
      </c>
      <c r="L1" s="10" t="s">
        <v>25</v>
      </c>
      <c r="M1" s="10" t="s">
        <v>7</v>
      </c>
      <c r="N1" s="10" t="s">
        <v>8</v>
      </c>
      <c r="O1" s="10" t="s">
        <v>29</v>
      </c>
      <c r="P1" s="10" t="s">
        <v>26</v>
      </c>
      <c r="Q1" s="10" t="s">
        <v>30</v>
      </c>
      <c r="R1" s="10" t="s">
        <v>9</v>
      </c>
    </row>
    <row r="2" spans="1:18" x14ac:dyDescent="0.35">
      <c r="A2" s="4"/>
      <c r="B2" s="4"/>
      <c r="C2" s="4"/>
      <c r="D2" s="4"/>
      <c r="E2" s="4"/>
      <c r="F2" s="4"/>
      <c r="G2" s="5"/>
      <c r="H2" s="5"/>
      <c r="I2" s="6"/>
      <c r="J2" s="4"/>
      <c r="K2" s="4"/>
      <c r="L2" s="4"/>
      <c r="M2" s="4"/>
      <c r="N2" s="4"/>
      <c r="O2" s="4"/>
      <c r="P2" s="4"/>
      <c r="Q2" s="4"/>
      <c r="R2" s="4"/>
    </row>
    <row r="3" spans="1:18" x14ac:dyDescent="0.35">
      <c r="A3" s="4"/>
      <c r="B3" s="4"/>
      <c r="C3" s="4"/>
      <c r="D3" s="4"/>
      <c r="E3" s="4"/>
      <c r="F3" s="4"/>
      <c r="G3" s="5"/>
      <c r="H3" s="5"/>
      <c r="I3" s="6"/>
      <c r="J3" s="4"/>
      <c r="K3" s="4"/>
      <c r="L3" s="4"/>
      <c r="M3" s="4"/>
      <c r="N3" s="4"/>
      <c r="O3" s="4"/>
      <c r="P3" s="4"/>
      <c r="Q3" s="4"/>
      <c r="R3" s="4"/>
    </row>
    <row r="4" spans="1:18" x14ac:dyDescent="0.35">
      <c r="A4" s="4"/>
      <c r="B4" s="4"/>
      <c r="C4" s="4"/>
      <c r="D4" s="4"/>
      <c r="E4" s="4"/>
      <c r="F4" s="4"/>
      <c r="G4" s="5"/>
      <c r="H4" s="5"/>
      <c r="I4" s="6"/>
      <c r="J4" s="4"/>
      <c r="K4" s="4"/>
      <c r="L4" s="4"/>
      <c r="M4" s="4"/>
      <c r="N4" s="4"/>
      <c r="O4" s="4"/>
      <c r="P4" s="4"/>
      <c r="Q4" s="4"/>
      <c r="R4" s="4"/>
    </row>
    <row r="5" spans="1:18" x14ac:dyDescent="0.35">
      <c r="A5" s="4"/>
      <c r="B5" s="4"/>
      <c r="C5" s="4"/>
      <c r="D5" s="4"/>
      <c r="E5" s="4"/>
      <c r="F5" s="4"/>
      <c r="G5" s="5"/>
      <c r="H5" s="5"/>
      <c r="I5" s="6"/>
      <c r="J5" s="4"/>
      <c r="K5" s="4"/>
      <c r="L5" s="4"/>
      <c r="M5" s="4"/>
      <c r="N5" s="4"/>
      <c r="O5" s="4"/>
      <c r="P5" s="4"/>
      <c r="Q5" s="4"/>
      <c r="R5" s="4"/>
    </row>
    <row r="6" spans="1:18" x14ac:dyDescent="0.35">
      <c r="A6" s="4"/>
      <c r="B6" s="4"/>
      <c r="C6" s="4"/>
      <c r="D6" s="4"/>
      <c r="E6" s="4"/>
      <c r="F6" s="4"/>
      <c r="G6" s="5"/>
      <c r="H6" s="5"/>
      <c r="I6" s="6"/>
      <c r="J6" s="4"/>
      <c r="K6" s="4"/>
      <c r="L6" s="4"/>
      <c r="M6" s="4"/>
      <c r="N6" s="4"/>
      <c r="O6" s="4"/>
      <c r="P6" s="4"/>
      <c r="Q6" s="4"/>
      <c r="R6" s="4"/>
    </row>
    <row r="7" spans="1:18" x14ac:dyDescent="0.35">
      <c r="A7" s="4"/>
      <c r="B7" s="4"/>
      <c r="C7" s="4"/>
      <c r="D7" s="4"/>
      <c r="E7" s="4"/>
      <c r="F7" s="4"/>
      <c r="G7" s="5"/>
      <c r="H7" s="5"/>
      <c r="I7" s="6"/>
      <c r="J7" s="4"/>
      <c r="K7" s="4"/>
      <c r="L7" s="4"/>
      <c r="M7" s="4"/>
      <c r="N7" s="4"/>
      <c r="O7" s="4"/>
      <c r="P7" s="4"/>
      <c r="Q7" s="4"/>
      <c r="R7" s="4"/>
    </row>
    <row r="8" spans="1:18" x14ac:dyDescent="0.35">
      <c r="A8" s="4"/>
      <c r="B8" s="4"/>
      <c r="C8" s="4"/>
      <c r="D8" s="4"/>
      <c r="E8" s="4"/>
      <c r="F8" s="4"/>
      <c r="G8" s="5"/>
      <c r="H8" s="5"/>
      <c r="I8" s="6"/>
      <c r="J8" s="4"/>
      <c r="K8" s="4"/>
      <c r="L8" s="4"/>
      <c r="M8" s="4"/>
      <c r="N8" s="4"/>
      <c r="O8" s="4"/>
      <c r="P8" s="4"/>
      <c r="Q8" s="4"/>
      <c r="R8" s="4"/>
    </row>
    <row r="9" spans="1:18" x14ac:dyDescent="0.35">
      <c r="A9" s="4"/>
      <c r="B9" s="4"/>
      <c r="C9" s="4"/>
      <c r="D9" s="4"/>
      <c r="E9" s="4"/>
      <c r="F9" s="4"/>
      <c r="G9" s="5"/>
      <c r="H9" s="5"/>
      <c r="I9" s="6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5">
      <c r="A10" s="4"/>
      <c r="B10" s="4"/>
      <c r="C10" s="4"/>
      <c r="D10" s="4"/>
      <c r="E10" s="4"/>
      <c r="F10" s="4"/>
      <c r="G10" s="5"/>
      <c r="H10" s="5"/>
      <c r="I10" s="6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5">
      <c r="A11" s="4"/>
      <c r="B11" s="4"/>
      <c r="C11" s="4"/>
      <c r="D11" s="4"/>
      <c r="E11" s="4"/>
      <c r="F11" s="4"/>
      <c r="G11" s="5"/>
      <c r="H11" s="5"/>
      <c r="I11" s="6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5">
      <c r="A12" s="7"/>
      <c r="B12" s="7"/>
      <c r="C12" s="7"/>
      <c r="D12" s="4"/>
      <c r="E12" s="7"/>
      <c r="F12" s="7"/>
      <c r="G12" s="5"/>
      <c r="H12" s="5"/>
      <c r="I12" s="7"/>
      <c r="J12" s="7"/>
      <c r="K12" s="7"/>
      <c r="L12" s="7"/>
      <c r="M12" s="7"/>
      <c r="N12" s="7"/>
      <c r="O12" s="7"/>
      <c r="P12" s="7"/>
      <c r="Q12" s="7"/>
      <c r="R12" s="4"/>
    </row>
    <row r="13" spans="1:18" x14ac:dyDescent="0.35">
      <c r="A13" s="7"/>
      <c r="B13" s="7"/>
      <c r="C13" s="7"/>
      <c r="D13" s="4"/>
      <c r="E13" s="7"/>
      <c r="F13" s="7"/>
      <c r="G13" s="5"/>
      <c r="H13" s="5"/>
      <c r="I13" s="8"/>
      <c r="J13" s="7"/>
      <c r="K13" s="7"/>
      <c r="L13" s="7"/>
      <c r="M13" s="7"/>
      <c r="N13" s="7"/>
      <c r="O13" s="7"/>
      <c r="P13" s="7"/>
      <c r="Q13" s="7"/>
      <c r="R13" s="4"/>
    </row>
    <row r="14" spans="1:18" x14ac:dyDescent="0.35">
      <c r="A14" s="7"/>
      <c r="B14" s="7"/>
      <c r="C14" s="7"/>
      <c r="D14" s="4"/>
      <c r="E14" s="7"/>
      <c r="F14" s="7"/>
      <c r="G14" s="5"/>
      <c r="H14" s="5"/>
      <c r="I14" s="8"/>
      <c r="J14" s="7"/>
      <c r="K14" s="7"/>
      <c r="L14" s="7"/>
      <c r="M14" s="7"/>
      <c r="N14" s="7"/>
      <c r="O14" s="7"/>
      <c r="P14" s="7"/>
      <c r="Q14" s="7"/>
      <c r="R14" s="4"/>
    </row>
    <row r="15" spans="1:18" x14ac:dyDescent="0.35">
      <c r="A15" s="7"/>
      <c r="B15" s="7"/>
      <c r="C15" s="7"/>
      <c r="D15" s="4"/>
      <c r="E15" s="7"/>
      <c r="F15" s="7"/>
      <c r="G15" s="5"/>
      <c r="H15" s="5"/>
      <c r="I15" s="8"/>
      <c r="J15" s="7"/>
      <c r="K15" s="7"/>
      <c r="L15" s="7"/>
      <c r="M15" s="7"/>
      <c r="N15" s="7"/>
      <c r="O15" s="7"/>
      <c r="P15" s="7"/>
      <c r="Q15" s="7"/>
      <c r="R15" s="4"/>
    </row>
    <row r="16" spans="1:18" x14ac:dyDescent="0.35">
      <c r="A16" s="7"/>
      <c r="B16" s="7"/>
      <c r="C16" s="7"/>
      <c r="D16" s="4"/>
      <c r="E16" s="7"/>
      <c r="F16" s="7"/>
      <c r="G16" s="5"/>
      <c r="H16" s="5"/>
      <c r="I16" s="8"/>
      <c r="J16" s="7"/>
      <c r="K16" s="7"/>
      <c r="L16" s="7"/>
      <c r="M16" s="7"/>
      <c r="N16" s="7"/>
      <c r="O16" s="7"/>
      <c r="P16" s="7"/>
      <c r="Q16" s="7"/>
      <c r="R16" s="4"/>
    </row>
    <row r="17" spans="1:18" x14ac:dyDescent="0.35">
      <c r="A17" s="7"/>
      <c r="B17" s="7"/>
      <c r="C17" s="7"/>
      <c r="D17" s="4"/>
      <c r="E17" s="7"/>
      <c r="F17" s="7"/>
      <c r="G17" s="5"/>
      <c r="H17" s="5"/>
      <c r="I17" s="8"/>
      <c r="J17" s="7"/>
      <c r="K17" s="7"/>
      <c r="L17" s="7"/>
      <c r="M17" s="7"/>
      <c r="N17" s="7"/>
      <c r="O17" s="7"/>
      <c r="P17" s="7"/>
      <c r="Q17" s="7"/>
      <c r="R17" s="4"/>
    </row>
    <row r="18" spans="1:18" x14ac:dyDescent="0.35">
      <c r="A18" s="7"/>
      <c r="B18" s="7"/>
      <c r="C18" s="7"/>
      <c r="D18" s="4"/>
      <c r="E18" s="7"/>
      <c r="F18" s="7"/>
      <c r="G18" s="5"/>
      <c r="H18" s="5"/>
      <c r="I18" s="8"/>
      <c r="J18" s="7"/>
      <c r="K18" s="7"/>
      <c r="L18" s="7"/>
      <c r="M18" s="7"/>
      <c r="N18" s="7"/>
      <c r="O18" s="7"/>
      <c r="P18" s="7"/>
      <c r="Q18" s="7"/>
      <c r="R18" s="4"/>
    </row>
    <row r="19" spans="1:18" x14ac:dyDescent="0.35">
      <c r="A19" s="7"/>
      <c r="B19" s="7"/>
      <c r="C19" s="7"/>
      <c r="D19" s="4"/>
      <c r="E19" s="7"/>
      <c r="F19" s="7"/>
      <c r="G19" s="5"/>
      <c r="H19" s="5"/>
      <c r="I19" s="8"/>
      <c r="J19" s="7"/>
      <c r="K19" s="7"/>
      <c r="L19" s="7"/>
      <c r="M19" s="7"/>
      <c r="N19" s="7"/>
      <c r="O19" s="7"/>
      <c r="P19" s="7"/>
      <c r="Q19" s="7"/>
      <c r="R19" s="4"/>
    </row>
    <row r="20" spans="1:18" x14ac:dyDescent="0.35">
      <c r="A20" s="7"/>
      <c r="B20" s="7"/>
      <c r="C20" s="7"/>
      <c r="D20" s="4"/>
      <c r="E20" s="7"/>
      <c r="F20" s="7"/>
      <c r="G20" s="5"/>
      <c r="H20" s="5"/>
      <c r="I20" s="8"/>
      <c r="J20" s="7"/>
      <c r="K20" s="7"/>
      <c r="L20" s="7"/>
      <c r="M20" s="7"/>
      <c r="N20" s="7"/>
      <c r="O20" s="7"/>
      <c r="P20" s="7"/>
      <c r="Q20" s="7"/>
      <c r="R20" s="4"/>
    </row>
    <row r="21" spans="1:18" x14ac:dyDescent="0.35">
      <c r="A21" s="7"/>
      <c r="B21" s="7"/>
      <c r="C21" s="7"/>
      <c r="D21" s="4"/>
      <c r="E21" s="7"/>
      <c r="F21" s="7"/>
      <c r="G21" s="5"/>
      <c r="H21" s="5"/>
      <c r="I21" s="8"/>
      <c r="J21" s="7"/>
      <c r="K21" s="7"/>
      <c r="L21" s="7"/>
      <c r="M21" s="7"/>
      <c r="N21" s="7"/>
      <c r="O21" s="7"/>
      <c r="P21" s="7"/>
      <c r="Q21" s="7"/>
      <c r="R21" s="4"/>
    </row>
    <row r="22" spans="1:18" x14ac:dyDescent="0.35">
      <c r="A22" s="7"/>
      <c r="B22" s="7"/>
      <c r="C22" s="7"/>
      <c r="D22" s="4"/>
      <c r="E22" s="7"/>
      <c r="F22" s="7"/>
      <c r="G22" s="5"/>
      <c r="H22" s="5"/>
      <c r="I22" s="8"/>
      <c r="J22" s="7"/>
      <c r="K22" s="7"/>
      <c r="L22" s="7"/>
      <c r="M22" s="7"/>
      <c r="N22" s="7"/>
      <c r="O22" s="7"/>
      <c r="P22" s="7"/>
      <c r="Q22" s="7"/>
      <c r="R22" s="4"/>
    </row>
    <row r="23" spans="1:18" x14ac:dyDescent="0.35">
      <c r="A23" s="7"/>
      <c r="B23" s="7"/>
      <c r="C23" s="7"/>
      <c r="D23" s="4"/>
      <c r="E23" s="7"/>
      <c r="F23" s="7"/>
      <c r="G23" s="5"/>
      <c r="H23" s="5"/>
      <c r="I23" s="8"/>
      <c r="J23" s="7"/>
      <c r="K23" s="7"/>
      <c r="L23" s="7"/>
      <c r="M23" s="7"/>
      <c r="N23" s="7"/>
      <c r="O23" s="7"/>
      <c r="P23" s="7"/>
      <c r="Q23" s="7"/>
      <c r="R23" s="4"/>
    </row>
    <row r="24" spans="1:18" x14ac:dyDescent="0.35">
      <c r="A24" s="7"/>
      <c r="B24" s="7"/>
      <c r="C24" s="7"/>
      <c r="D24" s="4"/>
      <c r="E24" s="7"/>
      <c r="F24" s="7"/>
      <c r="G24" s="5"/>
      <c r="H24" s="5"/>
      <c r="I24" s="8"/>
      <c r="J24" s="7"/>
      <c r="K24" s="7"/>
      <c r="L24" s="7"/>
      <c r="M24" s="7"/>
      <c r="N24" s="7"/>
      <c r="O24" s="7"/>
      <c r="P24" s="7"/>
      <c r="Q24" s="7"/>
      <c r="R24" s="4"/>
    </row>
    <row r="25" spans="1:18" x14ac:dyDescent="0.35">
      <c r="A25" s="4"/>
      <c r="B25" s="9"/>
      <c r="C25" s="4"/>
      <c r="D25" s="4"/>
      <c r="E25" s="4"/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5">
      <c r="A26" s="4"/>
      <c r="B26" s="9"/>
      <c r="C26" s="4"/>
      <c r="D26" s="4"/>
      <c r="E26" s="4"/>
      <c r="F26" s="4"/>
      <c r="G26" s="5"/>
      <c r="H26" s="5"/>
      <c r="I26" s="4"/>
      <c r="J26" s="4"/>
      <c r="K26" s="4"/>
      <c r="L26" s="4"/>
      <c r="M26" s="4"/>
      <c r="N26" s="4"/>
      <c r="O26" s="4"/>
      <c r="P26" s="4"/>
      <c r="Q26" s="4"/>
      <c r="R26" s="4"/>
    </row>
  </sheetData>
  <phoneticPr fontId="1" type="noConversion"/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3409-9969-4398-9FBF-EDA329C6E9D4}">
  <sheetPr codeName="Sheet3"/>
  <dimension ref="B2:O21"/>
  <sheetViews>
    <sheetView showGridLines="0" workbookViewId="0">
      <selection activeCell="K9" sqref="K9:M10"/>
    </sheetView>
  </sheetViews>
  <sheetFormatPr defaultRowHeight="14.5" x14ac:dyDescent="0.35"/>
  <cols>
    <col min="1" max="1" width="7.81640625" customWidth="1"/>
    <col min="2" max="2" width="13.6328125" bestFit="1" customWidth="1"/>
    <col min="3" max="3" width="15.26953125" bestFit="1" customWidth="1"/>
    <col min="4" max="4" width="10.7265625" bestFit="1" customWidth="1"/>
    <col min="10" max="10" width="14" customWidth="1"/>
    <col min="11" max="11" width="9.453125" customWidth="1"/>
    <col min="12" max="15" width="8.6328125" customWidth="1"/>
  </cols>
  <sheetData>
    <row r="2" spans="2:15" ht="25" x14ac:dyDescent="0.35">
      <c r="K2" s="12" t="s">
        <v>11</v>
      </c>
      <c r="L2" s="13" t="s">
        <v>10</v>
      </c>
      <c r="M2" s="13" t="s">
        <v>12</v>
      </c>
      <c r="N2" s="13" t="s">
        <v>13</v>
      </c>
      <c r="O2" s="13" t="s">
        <v>32</v>
      </c>
    </row>
    <row r="3" spans="2:15" x14ac:dyDescent="0.35">
      <c r="B3" s="1" t="s">
        <v>14</v>
      </c>
      <c r="C3" s="1" t="s">
        <v>28</v>
      </c>
      <c r="J3" s="11" t="s">
        <v>36</v>
      </c>
      <c r="K3" s="15">
        <f>IFERROR(GETPIVOTDATA("Ticket",$B$3),0)</f>
        <v>0</v>
      </c>
      <c r="L3" s="15">
        <f>IFERROR(GETPIVOTDATA("Ticket",$B$3,"Torre","Wintel"),0)</f>
        <v>0</v>
      </c>
      <c r="M3" s="15">
        <f>IFERROR(GETPIVOTDATA("Ticket",$B$3,"Torre","Base de datos"),0)</f>
        <v>0</v>
      </c>
      <c r="N3" s="15">
        <f>IFERROR(GETPIVOTDATA("Ticket",$B$3,"Torre","Monitoreo"),0)</f>
        <v>0</v>
      </c>
      <c r="O3" s="15">
        <f>IFERROR(GETPIVOTDATA("Ticket",$B$3,"Torre","Transformación"),0)</f>
        <v>0</v>
      </c>
    </row>
    <row r="4" spans="2:15" x14ac:dyDescent="0.35">
      <c r="B4" s="1" t="s">
        <v>18</v>
      </c>
      <c r="C4" t="s">
        <v>19</v>
      </c>
      <c r="D4" t="s">
        <v>20</v>
      </c>
      <c r="J4" s="11" t="s">
        <v>15</v>
      </c>
      <c r="K4" s="15">
        <f>IFERROR(GETPIVOTDATA("Ticket",$B$3,"Cumple SLA",TRUE),0)</f>
        <v>0</v>
      </c>
      <c r="L4" s="15">
        <f>IFERROR(GETPIVOTDATA("Ticket",$B$3,"Cumple SLA",TRUE,"Torre","Wintel"),0)</f>
        <v>0</v>
      </c>
      <c r="M4" s="15">
        <f>IFERROR(GETPIVOTDATA("Ticket",$B$3,"Cumple SLA",TRUE,"Torre","Base de datos"),0)</f>
        <v>0</v>
      </c>
      <c r="N4" s="15">
        <f>IFERROR(GETPIVOTDATA("Ticket",$B$3,"Cumple SLA",TRUE,"Torre","Monitoreo"),0)</f>
        <v>0</v>
      </c>
      <c r="O4" s="15">
        <f>IFERROR(GETPIVOTDATA("Ticket",$B$3,"Cumple SLA",TRUE,"Torre","Transformación"),0)</f>
        <v>0</v>
      </c>
    </row>
    <row r="5" spans="2:15" x14ac:dyDescent="0.35">
      <c r="B5" s="2" t="s">
        <v>19</v>
      </c>
      <c r="J5" s="11" t="s">
        <v>33</v>
      </c>
      <c r="K5" s="15">
        <f>IFERROR(GETPIVOTDATA("Ticket",$B$3,"Cumple SLA",FALSE),0)</f>
        <v>0</v>
      </c>
      <c r="L5" s="15">
        <f>IFERROR(GETPIVOTDATA("Ticket",$B$3,"Cumple SLA",FALSE,"Torre","Wintel"),0)</f>
        <v>0</v>
      </c>
      <c r="M5" s="15">
        <f>IFERROR(GETPIVOTDATA("Ticket",$B$3,"Cumple SLA",FALSE,"Torre","Base de datos"),0)</f>
        <v>0</v>
      </c>
      <c r="N5" s="15">
        <f>IFERROR(GETPIVOTDATA("Ticket",$B$3,"Cumple SLA",FALSE,"Torre","Monitoreo"),0)</f>
        <v>0</v>
      </c>
      <c r="O5" s="15">
        <f>IFERROR(GETPIVOTDATA("Ticket",$B$3,"Cumple SLA",FALSE,"Torre","Transformación"),0)</f>
        <v>0</v>
      </c>
    </row>
    <row r="6" spans="2:15" x14ac:dyDescent="0.35">
      <c r="B6" s="2" t="s">
        <v>20</v>
      </c>
    </row>
    <row r="7" spans="2:15" x14ac:dyDescent="0.35">
      <c r="B7" s="2"/>
    </row>
    <row r="8" spans="2:15" ht="25" x14ac:dyDescent="0.35">
      <c r="B8" s="2"/>
      <c r="K8" s="12" t="s">
        <v>11</v>
      </c>
      <c r="L8" s="13" t="s">
        <v>10</v>
      </c>
      <c r="M8" s="13" t="s">
        <v>12</v>
      </c>
      <c r="N8" s="13" t="s">
        <v>13</v>
      </c>
      <c r="O8" s="13" t="s">
        <v>32</v>
      </c>
    </row>
    <row r="9" spans="2:15" x14ac:dyDescent="0.35">
      <c r="B9" s="1" t="s">
        <v>30</v>
      </c>
      <c r="C9" t="s">
        <v>31</v>
      </c>
      <c r="J9" s="11" t="s">
        <v>34</v>
      </c>
      <c r="K9" s="14">
        <f>IFERROR(K4/K3,0)</f>
        <v>0</v>
      </c>
      <c r="L9" s="14">
        <f t="shared" ref="L9:O9" si="0">IFERROR(L4/L3,0)</f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</row>
    <row r="10" spans="2:15" x14ac:dyDescent="0.35">
      <c r="J10" s="11" t="s">
        <v>35</v>
      </c>
      <c r="K10" s="14">
        <f>IFERROR(K5/K3,0)</f>
        <v>0</v>
      </c>
      <c r="L10" s="14">
        <f t="shared" ref="L10:O10" si="1">IFERROR(L5/L3,0)</f>
        <v>0</v>
      </c>
      <c r="M10" s="14">
        <f t="shared" si="1"/>
        <v>0</v>
      </c>
      <c r="N10" s="14">
        <f t="shared" si="1"/>
        <v>0</v>
      </c>
      <c r="O10" s="14">
        <f t="shared" si="1"/>
        <v>0</v>
      </c>
    </row>
    <row r="11" spans="2:15" x14ac:dyDescent="0.35">
      <c r="B11" s="1" t="s">
        <v>18</v>
      </c>
      <c r="C11" t="s">
        <v>14</v>
      </c>
    </row>
    <row r="12" spans="2:15" x14ac:dyDescent="0.35">
      <c r="B12" s="2" t="s">
        <v>19</v>
      </c>
    </row>
    <row r="13" spans="2:15" x14ac:dyDescent="0.35">
      <c r="B13" s="2" t="s">
        <v>20</v>
      </c>
    </row>
    <row r="14" spans="2:15" x14ac:dyDescent="0.35">
      <c r="B14" s="2"/>
    </row>
    <row r="16" spans="2:15" x14ac:dyDescent="0.35">
      <c r="B16" s="1" t="s">
        <v>23</v>
      </c>
      <c r="C16" t="s">
        <v>31</v>
      </c>
    </row>
    <row r="18" spans="2:11" x14ac:dyDescent="0.35">
      <c r="B18" s="1" t="s">
        <v>18</v>
      </c>
      <c r="C18" t="s">
        <v>14</v>
      </c>
    </row>
    <row r="19" spans="2:11" x14ac:dyDescent="0.35">
      <c r="B19" s="2" t="s">
        <v>19</v>
      </c>
      <c r="K19" s="16" t="str">
        <f>_xlfn.CONCAT("Gestión de incidentes ", Inicio!$B$2)</f>
        <v xml:space="preserve">Gestión de incidentes </v>
      </c>
    </row>
    <row r="20" spans="2:11" x14ac:dyDescent="0.35">
      <c r="B20" s="3" t="s">
        <v>19</v>
      </c>
    </row>
    <row r="21" spans="2:11" x14ac:dyDescent="0.35">
      <c r="B21" s="2" t="s">
        <v>20</v>
      </c>
    </row>
  </sheetData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DA71A-15AC-45EB-B815-04313D65C712}">
  <sheetPr codeName="Sheet4"/>
  <dimension ref="B2:N17"/>
  <sheetViews>
    <sheetView showGridLines="0" topLeftCell="A3" workbookViewId="0">
      <selection activeCell="F11" sqref="F11"/>
    </sheetView>
  </sheetViews>
  <sheetFormatPr defaultRowHeight="14.5" x14ac:dyDescent="0.35"/>
  <cols>
    <col min="2" max="2" width="13.6328125" bestFit="1" customWidth="1"/>
    <col min="3" max="3" width="15.26953125" bestFit="1" customWidth="1"/>
    <col min="4" max="4" width="10.7265625" bestFit="1" customWidth="1"/>
    <col min="10" max="10" width="13.6328125" bestFit="1" customWidth="1"/>
    <col min="12" max="12" width="13.7265625" bestFit="1" customWidth="1"/>
    <col min="13" max="13" width="10.08984375" bestFit="1" customWidth="1"/>
  </cols>
  <sheetData>
    <row r="2" spans="2:14" ht="15.5" x14ac:dyDescent="0.35">
      <c r="B2" s="1" t="s">
        <v>30</v>
      </c>
      <c r="C2" t="s">
        <v>31</v>
      </c>
      <c r="K2" s="19" t="s">
        <v>11</v>
      </c>
      <c r="L2" s="18" t="s">
        <v>16</v>
      </c>
      <c r="M2" s="18" t="s">
        <v>17</v>
      </c>
    </row>
    <row r="3" spans="2:14" x14ac:dyDescent="0.35">
      <c r="J3" s="11" t="s">
        <v>36</v>
      </c>
      <c r="K3" s="15">
        <f>IFERROR(GETPIVOTDATA("Ticket",$B$2),0)</f>
        <v>0</v>
      </c>
      <c r="L3" s="15">
        <f>IFERROR(GETPIVOTDATA("Ticket",$B$2,"Filial","BANCOLOMBIA S.A."),0)</f>
        <v>0</v>
      </c>
      <c r="M3" s="15">
        <f>IFERROR(GETPIVOTDATA("Ticket",$B$2,"Filial","BANISTMO S.A."),0)</f>
        <v>0</v>
      </c>
      <c r="N3" s="20"/>
    </row>
    <row r="4" spans="2:14" x14ac:dyDescent="0.35">
      <c r="B4" s="1" t="s">
        <v>14</v>
      </c>
      <c r="C4" s="1" t="s">
        <v>28</v>
      </c>
      <c r="J4" s="11" t="s">
        <v>15</v>
      </c>
      <c r="K4" s="15">
        <f>IFERROR(GETPIVOTDATA("Ticket",$B$2,"Cumple SLA", TRUE),0)</f>
        <v>0</v>
      </c>
      <c r="L4" s="15">
        <f>IFERROR(GETPIVOTDATA("Ticket",$B$2,"Cumple SLA", TRUE,"Filial","BANCOLOMBIA S.A."),0)</f>
        <v>0</v>
      </c>
      <c r="M4" s="15">
        <f>IFERROR(GETPIVOTDATA("Ticket",$B$2,"Cumple SLA", TRUE,"Filial","BANISTMO S.A."),0)</f>
        <v>0</v>
      </c>
    </row>
    <row r="5" spans="2:14" x14ac:dyDescent="0.35">
      <c r="B5" s="1" t="s">
        <v>18</v>
      </c>
      <c r="C5" t="s">
        <v>19</v>
      </c>
      <c r="D5" t="s">
        <v>20</v>
      </c>
      <c r="J5" s="11" t="s">
        <v>33</v>
      </c>
      <c r="K5" s="15">
        <f>IFERROR(GETPIVOTDATA("Ticket",$B$2,"Cumple SLA", FALSE),0)</f>
        <v>0</v>
      </c>
      <c r="L5" s="15">
        <f>IFERROR(GETPIVOTDATA("Ticket",$B$2,"Cumple SLA", FALSE,"Filial","BANCOLOMBIA S.A."),0)</f>
        <v>0</v>
      </c>
      <c r="M5" s="15">
        <f>IFERROR(GETPIVOTDATA("Ticket",$B$2,"Cumple SLA", FALSE,"Filial","BANISTMO S.A."),0)</f>
        <v>0</v>
      </c>
    </row>
    <row r="6" spans="2:14" x14ac:dyDescent="0.35">
      <c r="B6" s="2" t="s">
        <v>19</v>
      </c>
    </row>
    <row r="7" spans="2:14" x14ac:dyDescent="0.35">
      <c r="B7" s="2" t="s">
        <v>20</v>
      </c>
    </row>
    <row r="8" spans="2:14" ht="15.5" x14ac:dyDescent="0.35">
      <c r="K8" s="19" t="s">
        <v>11</v>
      </c>
      <c r="L8" s="18" t="s">
        <v>16</v>
      </c>
      <c r="M8" s="18" t="s">
        <v>17</v>
      </c>
    </row>
    <row r="9" spans="2:14" x14ac:dyDescent="0.35">
      <c r="J9" s="17" t="s">
        <v>34</v>
      </c>
      <c r="K9" s="14">
        <f>IFERROR(K4/K3,0)</f>
        <v>0</v>
      </c>
      <c r="L9" s="14">
        <f t="shared" ref="L9:M9" si="0">IFERROR(L4/L3,0)</f>
        <v>0</v>
      </c>
      <c r="M9" s="14">
        <f t="shared" si="0"/>
        <v>0</v>
      </c>
    </row>
    <row r="10" spans="2:14" x14ac:dyDescent="0.35">
      <c r="J10" s="17" t="s">
        <v>35</v>
      </c>
      <c r="K10" s="14">
        <f>IFERROR(K5/K3,0)</f>
        <v>0</v>
      </c>
      <c r="L10" s="14">
        <f t="shared" ref="L10:M10" si="1">IFERROR(L5/L3,0)</f>
        <v>0</v>
      </c>
      <c r="M10" s="14">
        <f t="shared" si="1"/>
        <v>0</v>
      </c>
    </row>
    <row r="17" spans="12:12" x14ac:dyDescent="0.35">
      <c r="L17" s="16" t="str">
        <f>_xlfn.CONCAT("Gestión de incidentes por filial ",Inicio!$B$2 )</f>
        <v xml:space="preserve">Gestión de incidentes por filial 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8A2CBB359AE484AAC283AFBB913CA9D" ma:contentTypeVersion="21" ma:contentTypeDescription="Crear nuevo documento." ma:contentTypeScope="" ma:versionID="17a9945305931fc2ad2d90d379d043b8">
  <xsd:schema xmlns:xsd="http://www.w3.org/2001/XMLSchema" xmlns:xs="http://www.w3.org/2001/XMLSchema" xmlns:p="http://schemas.microsoft.com/office/2006/metadata/properties" xmlns:ns1="http://schemas.microsoft.com/sharepoint/v3" xmlns:ns2="e5abb949-511f-44bf-8c82-bbfd9b99dd29" xmlns:ns3="bc6f0afb-2498-4282-ae3a-664214e0cc31" targetNamespace="http://schemas.microsoft.com/office/2006/metadata/properties" ma:root="true" ma:fieldsID="52d4adaca8faba7c58d17b1c3b59d275" ns1:_="" ns2:_="" ns3:_="">
    <xsd:import namespace="http://schemas.microsoft.com/sharepoint/v3"/>
    <xsd:import namespace="e5abb949-511f-44bf-8c82-bbfd9b99dd29"/>
    <xsd:import namespace="bc6f0afb-2498-4282-ae3a-664214e0cc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_dlc_DocId" minOccurs="0"/>
                <xsd:element ref="ns3:_dlc_DocIdUrl" minOccurs="0"/>
                <xsd:element ref="ns3:_dlc_DocIdPersistId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abb949-511f-44bf-8c82-bbfd9b99dd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n" ma:readOnly="false" ma:fieldId="{5cf76f15-5ced-4ddc-b409-7134ff3c332f}" ma:taxonomyMulti="true" ma:sspId="53a41489-9efd-4705-82fc-442e31f9b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f0afb-2498-4282-ae3a-664214e0cc3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_dlc_DocId" ma:index="20" nillable="true" ma:displayName="Valor de Id. de documento" ma:description="El valor del identificador de documento asignado a este elemento." ma:indexed="true" ma:internalName="_dlc_DocId" ma:readOnly="true">
      <xsd:simpleType>
        <xsd:restriction base="dms:Text"/>
      </xsd:simpleType>
    </xsd:element>
    <xsd:element name="_dlc_DocIdUrl" ma:index="21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27" nillable="true" ma:displayName="Taxonomy Catch All Column" ma:hidden="true" ma:list="{b0c20a97-46fe-4c5b-beec-a2d2520c18d7}" ma:internalName="TaxCatchAll" ma:showField="CatchAllData" ma:web="bc6f0afb-2498-4282-ae3a-664214e0cc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bc6f0afb-2498-4282-ae3a-664214e0cc31">63CAQ3V5MAFP-188978443-64387</_dlc_DocId>
    <_dlc_DocIdUrl xmlns="bc6f0afb-2498-4282-ae3a-664214e0cc31">
      <Url>https://bancolombia.sharepoint.com/sites/co-ptcs/_layouts/15/DocIdRedir.aspx?ID=63CAQ3V5MAFP-188978443-64387</Url>
      <Description>63CAQ3V5MAFP-188978443-64387</Description>
    </_dlc_DocIdUrl>
    <_ip_UnifiedCompliancePolicyUIAction xmlns="http://schemas.microsoft.com/sharepoint/v3" xsi:nil="true"/>
    <lcf76f155ced4ddcb4097134ff3c332f xmlns="e5abb949-511f-44bf-8c82-bbfd9b99dd29">
      <Terms xmlns="http://schemas.microsoft.com/office/infopath/2007/PartnerControls"/>
    </lcf76f155ced4ddcb4097134ff3c332f>
    <_ip_UnifiedCompliancePolicyProperties xmlns="http://schemas.microsoft.com/sharepoint/v3" xsi:nil="true"/>
    <TaxCatchAll xmlns="bc6f0afb-2498-4282-ae3a-664214e0cc31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01FB25-B163-4CE4-8C72-6D7D6628CE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5abb949-511f-44bf-8c82-bbfd9b99dd29"/>
    <ds:schemaRef ds:uri="bc6f0afb-2498-4282-ae3a-664214e0cc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78E801-11AB-405E-B675-ADC7178CBA7F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8BF63E8-55C2-44CE-9326-EAA319872B81}">
  <ds:schemaRefs>
    <ds:schemaRef ds:uri="http://purl.org/dc/dcmitype/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bc6f0afb-2498-4282-ae3a-664214e0cc31"/>
    <ds:schemaRef ds:uri="e5abb949-511f-44bf-8c82-bbfd9b99dd29"/>
  </ds:schemaRefs>
</ds:datastoreItem>
</file>

<file path=customXml/itemProps4.xml><?xml version="1.0" encoding="utf-8"?>
<ds:datastoreItem xmlns:ds="http://schemas.openxmlformats.org/officeDocument/2006/customXml" ds:itemID="{4275B01E-58EF-4502-A24C-ADD38B36AC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Inicio</vt:lpstr>
      <vt:lpstr>Data</vt:lpstr>
      <vt:lpstr>Resultado</vt:lpstr>
      <vt:lpstr>Resultado x Filial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Soto Duran</dc:creator>
  <cp:keywords/>
  <dc:description/>
  <cp:lastModifiedBy>Jhonathan Guerrero Montoya</cp:lastModifiedBy>
  <cp:revision/>
  <dcterms:created xsi:type="dcterms:W3CDTF">2021-07-23T13:55:21Z</dcterms:created>
  <dcterms:modified xsi:type="dcterms:W3CDTF">2025-05-30T18:21:48Z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0x01010048A2CBB359AE484AAC283AFBB913CA9D</vt:lpwstr>
  </property>
  <property fmtid="{D5CDD505-2E9C-101B-9397-08002B2CF9AE}" pid="3" name="_dlc_DocIdItemGuid">
    <vt:lpwstr>4729850e-70a4-44c3-a2dc-646967204019</vt:lpwstr>
  </property>
  <property fmtid="{D5CDD505-2E9C-101B-9397-08002B2CF9AE}" pid="4" name="MediaServiceImageTags">
    <vt:lpwstr/>
  </property>
  <property fmtid="{D5CDD505-2E9C-101B-9397-08002B2CF9AE}" pid="5" name="MSIP_Label_71bdff26-5887-4e5c-8426-6e404c233df0_Enabled">
    <vt:lpwstr>true</vt:lpwstr>
  </property>
  <property fmtid="{D5CDD505-2E9C-101B-9397-08002B2CF9AE}" pid="6" name="MSIP_Label_71bdff26-5887-4e5c-8426-6e404c233df0_SetDate">
    <vt:lpwstr>2025-03-10T16:02:23Z</vt:lpwstr>
  </property>
  <property fmtid="{D5CDD505-2E9C-101B-9397-08002B2CF9AE}" pid="7" name="MSIP_Label_71bdff26-5887-4e5c-8426-6e404c233df0_Method">
    <vt:lpwstr>Standard</vt:lpwstr>
  </property>
  <property fmtid="{D5CDD505-2E9C-101B-9397-08002B2CF9AE}" pid="8" name="MSIP_Label_71bdff26-5887-4e5c-8426-6e404c233df0_Name">
    <vt:lpwstr>71bdff26-5887-4e5c-8426-6e404c233df0</vt:lpwstr>
  </property>
  <property fmtid="{D5CDD505-2E9C-101B-9397-08002B2CF9AE}" pid="9" name="MSIP_Label_71bdff26-5887-4e5c-8426-6e404c233df0_SiteId">
    <vt:lpwstr>b5e244bd-c492-495b-8b10-61bfd453e423</vt:lpwstr>
  </property>
  <property fmtid="{D5CDD505-2E9C-101B-9397-08002B2CF9AE}" pid="10" name="MSIP_Label_71bdff26-5887-4e5c-8426-6e404c233df0_ActionId">
    <vt:lpwstr>2d85d108-13dd-42a0-9655-1e2c9a856656</vt:lpwstr>
  </property>
  <property fmtid="{D5CDD505-2E9C-101B-9397-08002B2CF9AE}" pid="11" name="MSIP_Label_71bdff26-5887-4e5c-8426-6e404c233df0_ContentBits">
    <vt:lpwstr>0</vt:lpwstr>
  </property>
  <property fmtid="{D5CDD505-2E9C-101B-9397-08002B2CF9AE}" pid="12" name="MSIP_Label_71bdff26-5887-4e5c-8426-6e404c233df0_Tag">
    <vt:lpwstr>10, 3, 0, 2</vt:lpwstr>
  </property>
</Properties>
</file>